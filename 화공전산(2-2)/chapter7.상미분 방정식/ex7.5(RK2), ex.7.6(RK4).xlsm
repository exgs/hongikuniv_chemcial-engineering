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이윤성\OneDrive\화학공학\4학년2학기\화공전산\chapter7.상미분 방정식\"/>
    </mc:Choice>
  </mc:AlternateContent>
  <xr:revisionPtr revIDLastSave="48" documentId="8_{B65A9E7C-32C3-404E-9E8B-11475CF7437E}" xr6:coauthVersionLast="45" xr6:coauthVersionMax="45" xr10:uidLastSave="{BD8A45EF-5635-43DC-B307-61E29BB225D1}"/>
  <bookViews>
    <workbookView xWindow="-110" yWindow="-110" windowWidth="19420" windowHeight="11020" xr2:uid="{A33910D7-E030-4B5E-989A-3AB6EB3C9A52}"/>
  </bookViews>
  <sheets>
    <sheet name="RK2" sheetId="1" r:id="rId1"/>
    <sheet name="RK4" sheetId="2" r:id="rId2"/>
  </sheets>
  <definedNames>
    <definedName name="h" localSheetId="1">'RK4'!$B$2</definedName>
    <definedName name="h">'RK2'!$G$2</definedName>
    <definedName name="Sex">'RK2'!$G$2</definedName>
    <definedName name="sexy">'RK2'!$G$2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2" i="2" l="1"/>
  <c r="A6" i="2"/>
  <c r="A7" i="2"/>
  <c r="A8" i="2"/>
  <c r="A9" i="2"/>
  <c r="A10" i="2" s="1"/>
  <c r="A5" i="2"/>
  <c r="F5" i="1"/>
  <c r="F6" i="1" s="1"/>
  <c r="F7" i="1" s="1"/>
  <c r="F8" i="1" s="1"/>
  <c r="A6" i="1"/>
  <c r="A7" i="1"/>
  <c r="A8" i="1" s="1"/>
  <c r="A5" i="1"/>
  <c r="H4" i="1" a="1"/>
  <c r="C4" i="1" a="1"/>
  <c r="C4" i="2" a="1"/>
  <c r="I4" i="1" a="1"/>
  <c r="A11" i="2" l="1"/>
  <c r="C4" i="2"/>
  <c r="F9" i="1"/>
  <c r="I4" i="1"/>
  <c r="G5" i="1" s="1"/>
  <c r="H4" i="1"/>
  <c r="A9" i="1"/>
  <c r="C4" i="1"/>
  <c r="H5" i="1" a="1"/>
  <c r="D4" i="1" a="1"/>
  <c r="D4" i="1" l="1"/>
  <c r="B5" i="1" s="1"/>
  <c r="H5" i="1"/>
  <c r="F10" i="1"/>
  <c r="A10" i="1"/>
  <c r="C5" i="1" a="1"/>
  <c r="I5" i="1" a="1"/>
  <c r="D4" i="2" a="1"/>
  <c r="D4" i="2" l="1"/>
  <c r="C5" i="1"/>
  <c r="I5" i="1"/>
  <c r="G6" i="1" s="1"/>
  <c r="H6" i="1" a="1"/>
  <c r="D5" i="1" a="1"/>
  <c r="D5" i="1" l="1"/>
  <c r="B6" i="1" s="1"/>
  <c r="H6" i="1"/>
  <c r="E4" i="2" a="1"/>
  <c r="C6" i="1" a="1"/>
  <c r="I6" i="1" a="1"/>
  <c r="E4" i="2" l="1"/>
  <c r="C6" i="1"/>
  <c r="I6" i="1"/>
  <c r="G7" i="1" s="1"/>
  <c r="H7" i="1" a="1"/>
  <c r="D6" i="1" a="1"/>
  <c r="D6" i="1" l="1"/>
  <c r="B7" i="1" s="1"/>
  <c r="H7" i="1"/>
  <c r="C7" i="1" a="1"/>
  <c r="F4" i="2" a="1"/>
  <c r="I7" i="1" a="1"/>
  <c r="F4" i="2" l="1"/>
  <c r="B5" i="2" s="1"/>
  <c r="C7" i="1"/>
  <c r="I7" i="1"/>
  <c r="G8" i="1" s="1"/>
  <c r="H8" i="1" a="1"/>
  <c r="C5" i="2" a="1"/>
  <c r="D7" i="1" a="1"/>
  <c r="D7" i="1" l="1"/>
  <c r="B8" i="1" s="1"/>
  <c r="C5" i="2"/>
  <c r="H8" i="1"/>
  <c r="D5" i="2" a="1"/>
  <c r="C8" i="1" a="1"/>
  <c r="I8" i="1" a="1"/>
  <c r="D5" i="2" l="1"/>
  <c r="C8" i="1"/>
  <c r="I8" i="1"/>
  <c r="G9" i="1" s="1"/>
  <c r="H9" i="1" a="1"/>
  <c r="D8" i="1" a="1"/>
  <c r="D8" i="1" l="1"/>
  <c r="B9" i="1" s="1"/>
  <c r="H9" i="1"/>
  <c r="C9" i="1" a="1"/>
  <c r="E5" i="2" a="1"/>
  <c r="I9" i="1" a="1"/>
  <c r="E5" i="2" l="1"/>
  <c r="C9" i="1"/>
  <c r="I9" i="1"/>
  <c r="G10" i="1" s="1"/>
  <c r="H10" i="1" a="1"/>
  <c r="D9" i="1" a="1"/>
  <c r="D9" i="1" l="1"/>
  <c r="B10" i="1" s="1"/>
  <c r="H10" i="1"/>
  <c r="I10" i="1" a="1"/>
  <c r="C10" i="1" a="1"/>
  <c r="F5" i="2" a="1"/>
  <c r="F5" i="2" l="1"/>
  <c r="B6" i="2" s="1"/>
  <c r="C10" i="1"/>
  <c r="I10" i="1"/>
  <c r="C6" i="2" a="1"/>
  <c r="D10" i="1" a="1"/>
  <c r="D10" i="1" l="1"/>
  <c r="C6" i="2"/>
  <c r="D6" i="2" a="1"/>
  <c r="D6" i="2" l="1"/>
  <c r="E6" i="2" a="1"/>
  <c r="E6" i="2" l="1"/>
  <c r="F6" i="2" a="1"/>
  <c r="F6" i="2" l="1"/>
  <c r="B7" i="2" s="1"/>
  <c r="C7" i="2" a="1"/>
  <c r="C7" i="2" l="1"/>
  <c r="D7" i="2" a="1"/>
  <c r="D7" i="2" l="1"/>
  <c r="E7" i="2" a="1"/>
  <c r="E7" i="2" l="1"/>
  <c r="F7" i="2" a="1"/>
  <c r="F7" i="2" l="1"/>
  <c r="B8" i="2" s="1"/>
  <c r="C8" i="2" a="1"/>
  <c r="C8" i="2" l="1"/>
  <c r="D8" i="2" a="1"/>
  <c r="D8" i="2" l="1"/>
  <c r="E8" i="2" a="1"/>
  <c r="E8" i="2" l="1"/>
  <c r="F8" i="2" a="1"/>
  <c r="F8" i="2" l="1"/>
  <c r="B9" i="2" s="1"/>
  <c r="C9" i="2" a="1"/>
  <c r="C9" i="2" l="1"/>
  <c r="D9" i="2" a="1"/>
  <c r="D9" i="2" l="1"/>
  <c r="E9" i="2" a="1"/>
  <c r="E9" i="2" l="1"/>
  <c r="F9" i="2" a="1"/>
  <c r="F9" i="2" l="1"/>
  <c r="B10" i="2" s="1"/>
  <c r="C10" i="2" a="1"/>
  <c r="C10" i="2" l="1"/>
  <c r="D10" i="2" a="1"/>
  <c r="D10" i="2" l="1"/>
  <c r="E10" i="2" a="1"/>
  <c r="E10" i="2" l="1"/>
  <c r="F10" i="2" a="1"/>
  <c r="F10" i="2" l="1"/>
  <c r="B11" i="2" s="1"/>
  <c r="C11" i="2" a="1"/>
  <c r="C11" i="2" l="1"/>
  <c r="D11" i="2" a="1"/>
  <c r="D11" i="2" l="1"/>
  <c r="E11" i="2" a="1"/>
  <c r="E11" i="2" l="1"/>
  <c r="F11" i="2" a="1"/>
  <c r="F11" i="2" l="1"/>
  <c r="B12" i="2" s="1"/>
  <c r="C12" i="2" a="1"/>
  <c r="C12" i="2" l="1"/>
  <c r="D12" i="2" a="1"/>
  <c r="D12" i="2" l="1"/>
  <c r="E12" i="2" a="1"/>
  <c r="E12" i="2" l="1"/>
  <c r="F12" i="2" a="1"/>
  <c r="F1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<sst xmlns="http://schemas.openxmlformats.org/spreadsheetml/2006/main" count="24" uniqueCount="12">
  <si>
    <t>Heun's modified Euler</t>
    <phoneticPr fontId="1" type="noConversion"/>
  </si>
  <si>
    <t>mid-point</t>
    <phoneticPr fontId="1" type="noConversion"/>
  </si>
  <si>
    <t>y(0)=1</t>
  </si>
  <si>
    <t>h</t>
    <phoneticPr fontId="1" type="noConversion"/>
  </si>
  <si>
    <t>y' = f(t,y) = t*y^2</t>
  </si>
  <si>
    <t>t</t>
    <phoneticPr fontId="1" type="noConversion"/>
  </si>
  <si>
    <t>y</t>
    <phoneticPr fontId="1" type="noConversion"/>
  </si>
  <si>
    <t>k1</t>
    <phoneticPr fontId="1" type="noConversion"/>
  </si>
  <si>
    <t>k2</t>
    <phoneticPr fontId="1" type="noConversion"/>
  </si>
  <si>
    <t>RK4</t>
    <phoneticPr fontId="1" type="noConversion"/>
  </si>
  <si>
    <t>k3</t>
    <phoneticPr fontId="1" type="noConversion"/>
  </si>
  <si>
    <t>k4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</si>
</sst>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B2FD6-12E0-4403-B62C-32FFB8F414C5}">
  <sheetPr codeName="Sheet1"/>
  <dimension ref="A1:M10"/>
  <sheetViews>
    <sheetView tabSelected="1" zoomScale="70" zoomScaleNormal="70" workbookViewId="0">
      <selection activeCell="V14" sqref="V14"/>
    </sheetView>
  </sheetViews>
  <sheetFormatPr defaultRowHeight="17" x14ac:dyDescent="0.45"/>
  <sheetData>
    <row r="1" spans="1:13" x14ac:dyDescent="0.45">
      <c r="A1" t="s">
        <v>0</v>
      </c>
      <c r="G1" t="s">
        <v>1</v>
      </c>
      <c r="M1" t="s">
        <v>2</v>
      </c>
    </row>
    <row r="2" spans="1:13" x14ac:dyDescent="0.45">
      <c r="A2" t="s">
        <v>3</v>
      </c>
      <c r="B2">
        <v>0.2</v>
      </c>
      <c r="F2" t="s">
        <v>3</v>
      </c>
      <c r="G2">
        <v>0.2</v>
      </c>
      <c r="M2" t="s">
        <v>4</v>
      </c>
    </row>
    <row r="3" spans="1:13" x14ac:dyDescent="0.45">
      <c r="A3" t="s">
        <v>5</v>
      </c>
      <c r="B3" t="s">
        <v>6</v>
      </c>
      <c r="C3" t="s">
        <v>7</v>
      </c>
      <c r="D3" t="s">
        <v>8</v>
      </c>
      <c r="F3" t="s">
        <v>5</v>
      </c>
      <c r="G3" t="s">
        <v>6</v>
      </c>
      <c r="H3" t="s">
        <v>7</v>
      </c>
      <c r="I3" t="s">
        <v>8</v>
      </c>
    </row>
    <row r="4" spans="1:13" x14ac:dyDescent="0.45">
      <c r="A4">
        <v>0</v>
      </c>
      <c r="B4">
        <v>1</v>
      </c>
      <c r="C4" cm="1">
        <f t="array" ref="C4">ex75F(A4,B4)</f>
        <v>0</v>
      </c>
      <c r="D4" cm="1">
        <f t="array" ref="D4">ex75F(A4+B$2,B4+B$2*C4)</f>
        <v>0.2</v>
      </c>
      <c r="F4">
        <v>0</v>
      </c>
      <c r="G4">
        <v>1</v>
      </c>
      <c r="H4" cm="1">
        <f t="array" ref="H4">ex75F(F4,G4)</f>
        <v>0</v>
      </c>
      <c r="I4" cm="1">
        <f t="array" ref="I4">ex75F(F4+h/2, G4+h/2*K1)</f>
        <v>0.1</v>
      </c>
    </row>
    <row r="5" spans="1:13" x14ac:dyDescent="0.45">
      <c r="A5">
        <f>A4+B$2</f>
        <v>0.2</v>
      </c>
      <c r="B5">
        <f>B4+B$2/2*(C4+D4)</f>
        <v>1.02</v>
      </c>
      <c r="C5" cm="1">
        <f t="array" ref="C5">ex75F(A5,B5)</f>
        <v>0.20808000000000001</v>
      </c>
      <c r="D5" cm="1">
        <f t="array" ref="D5">ex75F(A5+B$2,B5+B$2*C5)</f>
        <v>0.4508114125824001</v>
      </c>
      <c r="F5">
        <f t="shared" ref="F5:F10" si="0">F4+h</f>
        <v>0.2</v>
      </c>
      <c r="G5">
        <f t="shared" ref="G5:G10" si="1">G4+h*I4</f>
        <v>1.02</v>
      </c>
      <c r="H5" cm="1">
        <f t="array" ref="H5">ex75F(F5,G5)</f>
        <v>0.20808000000000001</v>
      </c>
      <c r="I5" cm="1">
        <f t="array" ref="I5">ex75F(F5+h/2, G5+h/2*H5)</f>
        <v>0.32498438785920003</v>
      </c>
    </row>
    <row r="6" spans="1:13" x14ac:dyDescent="0.45">
      <c r="A6">
        <f t="shared" ref="A6:A10" si="2">A5+B$2</f>
        <v>0.4</v>
      </c>
      <c r="B6">
        <f t="shared" ref="B6:B10" si="3">B5+B$2/2*(C5+D5)</f>
        <v>1.0858891412582401</v>
      </c>
      <c r="C6" cm="1">
        <f t="array" ref="C6">ex75F(A6,B6)</f>
        <v>0.47166209084102323</v>
      </c>
      <c r="D6" cm="1">
        <f t="array" ref="D6">ex75F(A6+B$2,B6+B$2*C6)</f>
        <v>0.83575375760099346</v>
      </c>
      <c r="F6">
        <f t="shared" si="0"/>
        <v>0.4</v>
      </c>
      <c r="G6">
        <f t="shared" si="1"/>
        <v>1.0849968775718399</v>
      </c>
      <c r="H6" cm="1">
        <f t="array" ref="H6">ex75F(F6,G6)</f>
        <v>0.47088728973625688</v>
      </c>
      <c r="I6" cm="1">
        <f t="array" ref="I6">ex75F(F6+h/2, G6+h/2*H6)</f>
        <v>0.64080891027370745</v>
      </c>
    </row>
    <row r="7" spans="1:13" x14ac:dyDescent="0.45">
      <c r="A7">
        <f t="shared" si="2"/>
        <v>0.60000000000000009</v>
      </c>
      <c r="B7">
        <f t="shared" si="3"/>
        <v>1.2166307261024418</v>
      </c>
      <c r="C7" cm="1">
        <f t="array" ref="C7">ex75F(A7,B7)</f>
        <v>0.88811419421793303</v>
      </c>
      <c r="D7" cm="1">
        <f t="array" ref="D7">ex75F(A7+B$2,B7+B$2*C7)</f>
        <v>1.5551544026917672</v>
      </c>
      <c r="F7">
        <f t="shared" si="0"/>
        <v>0.60000000000000009</v>
      </c>
      <c r="G7">
        <f t="shared" si="1"/>
        <v>1.2131586596265813</v>
      </c>
      <c r="H7" cm="1">
        <f t="array" ref="H7">ex75F(F7,G7)</f>
        <v>0.88305236005617815</v>
      </c>
      <c r="I7" cm="1">
        <f t="array" ref="I7">ex75F(F7+h/2, G7+h/2*H7)</f>
        <v>1.1856657901438978</v>
      </c>
    </row>
    <row r="8" spans="1:13" x14ac:dyDescent="0.45">
      <c r="A8">
        <f t="shared" si="2"/>
        <v>0.8</v>
      </c>
      <c r="B8">
        <f t="shared" si="3"/>
        <v>1.4609575857934118</v>
      </c>
      <c r="C8" cm="1">
        <f t="array" ref="C8">ex75F(A8,B8)</f>
        <v>1.7075176539898516</v>
      </c>
      <c r="D8" cm="1">
        <f t="array" ref="D8">ex75F(A8+B$2,B8+B$2*C8)</f>
        <v>3.2488660768238522</v>
      </c>
      <c r="F8">
        <f t="shared" si="0"/>
        <v>0.8</v>
      </c>
      <c r="G8">
        <f t="shared" si="1"/>
        <v>1.450291817655361</v>
      </c>
      <c r="H8" cm="1">
        <f t="array" ref="H8">ex75F(F8,G8)</f>
        <v>1.6826770850864727</v>
      </c>
      <c r="I8" cm="1">
        <f t="array" ref="I8">ex75F(F8+h/2, G8+h/2*H8)</f>
        <v>2.357761445762633</v>
      </c>
    </row>
    <row r="9" spans="1:13" x14ac:dyDescent="0.45">
      <c r="A9">
        <f t="shared" si="2"/>
        <v>1</v>
      </c>
      <c r="B9">
        <f t="shared" si="3"/>
        <v>1.9565959588747823</v>
      </c>
      <c r="C9" cm="1">
        <f t="array" ref="C9">ex75F(A9,B9)</f>
        <v>3.8282677462851287</v>
      </c>
      <c r="D9" cm="1">
        <f t="array" ref="D9">ex75F(A9+B$2,B9+B$2*C9)</f>
        <v>8.8927708614286463</v>
      </c>
      <c r="F9">
        <f t="shared" si="0"/>
        <v>1</v>
      </c>
      <c r="G9">
        <f t="shared" si="1"/>
        <v>1.9218441068078875</v>
      </c>
      <c r="H9" cm="1">
        <f t="array" ref="H9">ex75F(F9,G9)</f>
        <v>3.6934847708722072</v>
      </c>
      <c r="I9" cm="1">
        <f t="array" ref="I9">ex75F(F9+h/2, G9+h/2*H9)</f>
        <v>5.7745198021455382</v>
      </c>
    </row>
    <row r="10" spans="1:13" x14ac:dyDescent="0.45">
      <c r="A10">
        <f t="shared" si="2"/>
        <v>1.2</v>
      </c>
      <c r="B10">
        <f t="shared" si="3"/>
        <v>3.2286998196461596</v>
      </c>
      <c r="C10" cm="1">
        <f t="array" ref="C10">ex75F(A10,B10)</f>
        <v>12.509403030459772</v>
      </c>
      <c r="D10" cm="1">
        <f t="array" ref="D10">ex75F(A10+B$2,B10+B$2*C10)</f>
        <v>45.975372822193961</v>
      </c>
      <c r="F10">
        <f t="shared" si="0"/>
        <v>1.2</v>
      </c>
      <c r="G10">
        <f t="shared" si="1"/>
        <v>3.0767480672369949</v>
      </c>
      <c r="H10" cm="1">
        <f t="array" ref="H10">ex75F(F10,G10)</f>
        <v>11.359654403095901</v>
      </c>
      <c r="I10" cm="1">
        <f t="array" ref="I10">ex75F(F10+h/2, G10+h/2*H10)</f>
        <v>23.071041625665089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34F4D-1762-4EBC-81CF-30CD8189B312}">
  <sheetPr codeName="Sheet2"/>
  <dimension ref="A1:H12"/>
  <sheetViews>
    <sheetView workbookViewId="0">
      <selection activeCell="L5" sqref="L5"/>
    </sheetView>
  </sheetViews>
  <sheetFormatPr defaultRowHeight="17" x14ac:dyDescent="0.45"/>
  <sheetData>
    <row r="1" spans="1:8" x14ac:dyDescent="0.45">
      <c r="A1" t="s">
        <v>9</v>
      </c>
    </row>
    <row r="2" spans="1:8" x14ac:dyDescent="0.45">
      <c r="A2" t="s">
        <v>3</v>
      </c>
      <c r="B2">
        <v>1</v>
      </c>
    </row>
    <row r="3" spans="1:8" x14ac:dyDescent="0.45">
      <c r="A3" t="s">
        <v>5</v>
      </c>
      <c r="B3" t="s">
        <v>6</v>
      </c>
      <c r="C3" t="s">
        <v>7</v>
      </c>
      <c r="D3" t="s">
        <v>8</v>
      </c>
      <c r="E3" t="s">
        <v>10</v>
      </c>
      <c r="F3" t="s">
        <v>11</v>
      </c>
      <c r="H3" t="s">
        <v>2</v>
      </c>
    </row>
    <row r="4" spans="1:8" x14ac:dyDescent="0.45">
      <c r="A4">
        <v>0</v>
      </c>
      <c r="B4">
        <v>0.5</v>
      </c>
      <c r="C4" cm="1">
        <f t="array" ref="C4">ex76F(A4,B4)</f>
        <v>0.5</v>
      </c>
      <c r="D4" cm="1">
        <f t="array" ref="D4">ex76F(A4+h/2,B4+h/2*C4)</f>
        <v>0.25</v>
      </c>
      <c r="E4" cm="1">
        <f t="array" ref="E4">ex76F(A4+h/2,B4+h/2*D4)</f>
        <v>0.125</v>
      </c>
      <c r="F4" cm="1">
        <f t="array" ref="F4">ex76F(A4+h,B4+h*E4)</f>
        <v>-0.375</v>
      </c>
      <c r="H4" t="s">
        <v>4</v>
      </c>
    </row>
    <row r="5" spans="1:8" x14ac:dyDescent="0.45">
      <c r="A5">
        <f t="shared" ref="A5:A12" si="0">A4+h</f>
        <v>1</v>
      </c>
      <c r="B5">
        <f t="shared" ref="B5:B12" si="1">B4+h/6*(C4+2*D4+2*E4+F4)</f>
        <v>0.64583333333333326</v>
      </c>
      <c r="C5" cm="1">
        <f t="array" ref="C5">ex76F(A5,B5)</f>
        <v>-0.35416666666666674</v>
      </c>
      <c r="D5" cm="1">
        <f t="array" ref="D5">ex76F(A5+h/2,B5+h/2*C5)</f>
        <v>-1.03125</v>
      </c>
      <c r="E5" cm="1">
        <f t="array" ref="E5">ex76F(A5+h/2,B5+h/2*D5)</f>
        <v>-1.3697916666666667</v>
      </c>
      <c r="F5" cm="1">
        <f t="array" ref="F5">ex76F(A5+h,B5+h*E5)</f>
        <v>-2.7239583333333335</v>
      </c>
    </row>
    <row r="6" spans="1:8" x14ac:dyDescent="0.45">
      <c r="A6">
        <f t="shared" si="0"/>
        <v>2</v>
      </c>
      <c r="B6">
        <f t="shared" si="1"/>
        <v>-0.66753472222222232</v>
      </c>
      <c r="C6" cm="1">
        <f t="array" ref="C6">ex76F(A6,B6)</f>
        <v>-2.6675347222222223</v>
      </c>
      <c r="D6" cm="1">
        <f t="array" ref="D6">ex76F(A6+h/2,B6+h/2*C6)</f>
        <v>-4.5013020833333339</v>
      </c>
      <c r="E6" cm="1">
        <f t="array" ref="E6">ex76F(A6+h/2,B6+h/2*D6)</f>
        <v>-5.4181857638888893</v>
      </c>
      <c r="F6" cm="1">
        <f t="array" ref="F6">ex76F(A6+h,B6+h*E6)</f>
        <v>-9.0857204861111107</v>
      </c>
    </row>
    <row r="7" spans="1:8" x14ac:dyDescent="0.45">
      <c r="A7">
        <f t="shared" si="0"/>
        <v>3</v>
      </c>
      <c r="B7">
        <f t="shared" si="1"/>
        <v>-5.9329065393518521</v>
      </c>
      <c r="C7" cm="1">
        <f t="array" ref="C7">ex76F(A7,B7)</f>
        <v>-8.9329065393518512</v>
      </c>
      <c r="D7" cm="1">
        <f t="array" ref="D7">ex76F(A7+h/2,B7+h/2*C7)</f>
        <v>-13.899359809027779</v>
      </c>
      <c r="E7" cm="1">
        <f t="array" ref="E7">ex76F(A7+h/2,B7+h/2*D7)</f>
        <v>-16.38258644386574</v>
      </c>
      <c r="F7" cm="1">
        <f t="array" ref="F7">ex76F(A7+h,B7+h*E7)</f>
        <v>-26.315492983217592</v>
      </c>
    </row>
    <row r="8" spans="1:8" x14ac:dyDescent="0.45">
      <c r="A8">
        <f t="shared" si="0"/>
        <v>4</v>
      </c>
      <c r="B8">
        <f t="shared" si="1"/>
        <v>-21.901621877411266</v>
      </c>
      <c r="C8" cm="1">
        <f t="array" ref="C8">ex76F(A8,B8)</f>
        <v>-25.901621877411266</v>
      </c>
      <c r="D8" cm="1">
        <f t="array" ref="D8">ex76F(A8+h/2,B8+h/2*C8)</f>
        <v>-39.352432816116902</v>
      </c>
      <c r="E8" cm="1">
        <f t="array" ref="E8">ex76F(A8+h/2,B8+h/2*D8)</f>
        <v>-46.077838285469717</v>
      </c>
      <c r="F8" cm="1">
        <f t="array" ref="F8">ex76F(A8+h,B8+h*E8)</f>
        <v>-72.979460162880983</v>
      </c>
    </row>
    <row r="9" spans="1:8" x14ac:dyDescent="0.45">
      <c r="A9">
        <f t="shared" si="0"/>
        <v>5</v>
      </c>
      <c r="B9">
        <f t="shared" si="1"/>
        <v>-66.858559251322177</v>
      </c>
      <c r="C9" cm="1">
        <f t="array" ref="C9">ex76F(A9,B9)</f>
        <v>-71.858559251322177</v>
      </c>
      <c r="D9" cm="1">
        <f t="array" ref="D9">ex76F(A9+h/2,B9+h/2*C9)</f>
        <v>-108.28783887698327</v>
      </c>
      <c r="E9" cm="1">
        <f t="array" ref="E9">ex76F(A9+h/2,B9+h/2*D9)</f>
        <v>-126.50247868981381</v>
      </c>
      <c r="F9" cm="1">
        <f t="array" ref="F9">ex76F(A9+h,B9+h*E9)</f>
        <v>-199.36103794113598</v>
      </c>
    </row>
    <row r="10" spans="1:8" x14ac:dyDescent="0.45">
      <c r="A10">
        <f t="shared" si="0"/>
        <v>6</v>
      </c>
      <c r="B10">
        <f t="shared" si="1"/>
        <v>-190.32526463899757</v>
      </c>
      <c r="C10" cm="1">
        <f t="array" ref="C10">ex76F(A10,B10)</f>
        <v>-196.32526463899757</v>
      </c>
      <c r="D10" cm="1">
        <f t="array" ref="D10">ex76F(A10+h/2,B10+h/2*C10)</f>
        <v>-294.98789695849632</v>
      </c>
      <c r="E10" cm="1">
        <f t="array" ref="E10">ex76F(A10+h/2,B10+h/2*D10)</f>
        <v>-344.31921311824573</v>
      </c>
      <c r="F10" cm="1">
        <f t="array" ref="F10">ex76F(A10+h,B10+h*E10)</f>
        <v>-541.64447775724329</v>
      </c>
    </row>
    <row r="11" spans="1:8" x14ac:dyDescent="0.45">
      <c r="A11">
        <f t="shared" si="0"/>
        <v>7</v>
      </c>
      <c r="B11">
        <f t="shared" si="1"/>
        <v>-526.42259173061848</v>
      </c>
      <c r="C11" cm="1">
        <f t="array" ref="C11">ex76F(A11,B11)</f>
        <v>-533.42259173061848</v>
      </c>
      <c r="D11" cm="1">
        <f t="array" ref="D11">ex76F(A11+h/2,B11+h/2*C11)</f>
        <v>-800.63388759592772</v>
      </c>
      <c r="E11" cm="1">
        <f t="array" ref="E11">ex76F(A11+h/2,B11+h/2*D11)</f>
        <v>-934.23953552858234</v>
      </c>
      <c r="F11" cm="1">
        <f t="array" ref="F11">ex76F(A11+h,B11+h*E11)</f>
        <v>-1468.6621272592008</v>
      </c>
    </row>
    <row r="12" spans="1:8" x14ac:dyDescent="0.45">
      <c r="A12">
        <f t="shared" si="0"/>
        <v>8</v>
      </c>
      <c r="B12">
        <f t="shared" si="1"/>
        <v>-1438.394519270425</v>
      </c>
      <c r="C12" cm="1">
        <f t="array" ref="C12">ex76F(A12,B12)</f>
        <v>-1446.394519270425</v>
      </c>
      <c r="D12" cm="1">
        <f t="array" ref="D12">ex76F(A12+h/2,B12+h/2*C12)</f>
        <v>-2170.0917789056375</v>
      </c>
      <c r="E12" cm="1">
        <f t="array" ref="E12">ex76F(A12+h/2,B12+h/2*D12)</f>
        <v>-2531.9404087232438</v>
      </c>
      <c r="F12" cm="1">
        <f t="array" ref="F12">ex76F(A12+h,B12+h*E12)</f>
        <v>-3979.3349279936688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4</vt:i4>
      </vt:variant>
    </vt:vector>
  </HeadingPairs>
  <TitlesOfParts>
    <vt:vector size="6" baseType="lpstr">
      <vt:lpstr>RK2</vt:lpstr>
      <vt:lpstr>RK4</vt:lpstr>
      <vt:lpstr>'RK4'!h</vt:lpstr>
      <vt:lpstr>h</vt:lpstr>
      <vt:lpstr>Sex</vt:lpstr>
      <vt:lpstr>sexy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이윤성</dc:creator>
  <cp:keywords/>
  <dc:description/>
  <cp:lastModifiedBy>이 윤성</cp:lastModifiedBy>
  <cp:revision/>
  <dcterms:created xsi:type="dcterms:W3CDTF">2020-10-20T08:21:58Z</dcterms:created>
  <dcterms:modified xsi:type="dcterms:W3CDTF">2020-10-27T07:39:44Z</dcterms:modified>
  <cp:category/>
  <cp:contentStatus/>
</cp:coreProperties>
</file>